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liane\My_codes\GitSuppMaterial\Phase 3 - Scale Validation\Reproduce6 - AnalysisBySystem\"/>
    </mc:Choice>
  </mc:AlternateContent>
  <xr:revisionPtr revIDLastSave="0" documentId="8_{0BB242FF-4841-46DD-9C55-07F575C34DA9}" xr6:coauthVersionLast="47" xr6:coauthVersionMax="47" xr10:uidLastSave="{00000000-0000-0000-0000-000000000000}"/>
  <bookViews>
    <workbookView xWindow="28680" yWindow="-120" windowWidth="29040" windowHeight="15720" xr2:uid="{1A7D0A9D-1F3A-4C75-B9CF-B4BABEB84DCD}"/>
  </bookViews>
  <sheets>
    <sheet name="ItemsCod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2" i="1" l="1"/>
  <c r="Q2" i="1"/>
  <c r="P2" i="1"/>
  <c r="O2" i="1"/>
  <c r="N2" i="1"/>
  <c r="M2" i="1"/>
  <c r="L2" i="1"/>
  <c r="K2" i="1"/>
  <c r="J2" i="1"/>
  <c r="I2" i="1"/>
  <c r="H2" i="1"/>
  <c r="G2" i="1"/>
  <c r="F2" i="1"/>
</calcChain>
</file>

<file path=xl/sharedStrings.xml><?xml version="1.0" encoding="utf-8"?>
<sst xmlns="http://schemas.openxmlformats.org/spreadsheetml/2006/main" count="52" uniqueCount="39">
  <si>
    <t>visSimpleUnderstand</t>
  </si>
  <si>
    <t>P089 The visual representations I saw were simple to understand</t>
  </si>
  <si>
    <t>P089</t>
  </si>
  <si>
    <t>P022A I can easily remember how to read the visualizations in the system</t>
  </si>
  <si>
    <t>P022A</t>
  </si>
  <si>
    <t>trialError</t>
  </si>
  <si>
    <t>P067.I.could.safely.engage.in.a.trial.and.error.analysis.processï</t>
  </si>
  <si>
    <t>P067</t>
  </si>
  <si>
    <t>P097 Using the system I could easily retrieve information from my data</t>
  </si>
  <si>
    <t>P097</t>
  </si>
  <si>
    <t>P064 The tool encouraged me to think deeply about my data</t>
  </si>
  <si>
    <t>P064</t>
  </si>
  <si>
    <t>visAppropriate</t>
  </si>
  <si>
    <t>P098 I found the visual representations provided by the system were appropriate</t>
  </si>
  <si>
    <t>P098</t>
  </si>
  <si>
    <t>visFaithful</t>
  </si>
  <si>
    <t>P106 The visualizations I saw seemed to represent the data faithfully</t>
  </si>
  <si>
    <t>P106</t>
  </si>
  <si>
    <t>P026 I found it easy to get started using this system</t>
  </si>
  <si>
    <t>P026</t>
  </si>
  <si>
    <t>P4026A Getting the tool configured for my analysis was straightforward</t>
  </si>
  <si>
    <t>P4026A</t>
  </si>
  <si>
    <t>P027 I could complete my essential tasks efficiently</t>
  </si>
  <si>
    <t>P027</t>
  </si>
  <si>
    <t>P088 I found the system simple to understand</t>
  </si>
  <si>
    <t>P088</t>
  </si>
  <si>
    <t>P060 I enjoyed using this system</t>
  </si>
  <si>
    <t>P060</t>
  </si>
  <si>
    <t>P301 The system was useful for me</t>
  </si>
  <si>
    <t>P301</t>
  </si>
  <si>
    <t>sysSimpleUnderstand</t>
  </si>
  <si>
    <t>sysEnjoy</t>
  </si>
  <si>
    <t>sysUseful</t>
  </si>
  <si>
    <t>tasksCompleteTask</t>
  </si>
  <si>
    <t>analysisConfigure</t>
  </si>
  <si>
    <t>sysEasyStart</t>
  </si>
  <si>
    <t>sysRetrieveInfo</t>
  </si>
  <si>
    <t>sysThinkDeep</t>
  </si>
  <si>
    <t>visRemember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</si>
</sst>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4285F4"/>
        <bgColor indexed="64"/>
      </patternFill>
    </fill>
    <fill>
      <patternFill patternType="solid">
        <fgColor rgb="FF46BDC6"/>
        <bgColor indexed="64"/>
      </patternFill>
    </fill>
    <fill>
      <patternFill patternType="solid">
        <fgColor rgb="FF34A853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1" fillId="4" borderId="1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BB7C1-2D9D-4890-8B44-39FA3DA72E82}">
  <dimension ref="A1:R13"/>
  <sheetViews>
    <sheetView tabSelected="1" workbookViewId="0">
      <selection activeCell="G23" sqref="G23"/>
    </sheetView>
  </sheetViews>
  <sheetFormatPr defaultRowHeight="14.5" x14ac:dyDescent="0.35"/>
  <cols>
    <col min="1" max="1" width="38.6328125" customWidth="1"/>
    <col min="2" max="2" width="27.54296875" customWidth="1"/>
    <col min="3" max="3" width="56.08984375" customWidth="1"/>
  </cols>
  <sheetData>
    <row r="1" spans="1:18" ht="15" thickBot="1" x14ac:dyDescent="0.4">
      <c r="A1" s="2" t="s">
        <v>2</v>
      </c>
      <c r="B1" s="1" t="s">
        <v>0</v>
      </c>
      <c r="C1" s="1" t="s">
        <v>1</v>
      </c>
      <c r="F1" t="s">
        <v>19</v>
      </c>
      <c r="G1" t="s">
        <v>25</v>
      </c>
      <c r="H1" t="s">
        <v>21</v>
      </c>
      <c r="I1" t="s">
        <v>4</v>
      </c>
      <c r="J1" t="s">
        <v>7</v>
      </c>
      <c r="K1" t="s">
        <v>2</v>
      </c>
      <c r="L1" t="s">
        <v>9</v>
      </c>
      <c r="M1" t="s">
        <v>14</v>
      </c>
      <c r="N1" t="s">
        <v>17</v>
      </c>
      <c r="O1" t="s">
        <v>23</v>
      </c>
      <c r="P1" t="s">
        <v>27</v>
      </c>
      <c r="Q1" t="s">
        <v>11</v>
      </c>
      <c r="R1" t="s">
        <v>29</v>
      </c>
    </row>
    <row r="2" spans="1:18" ht="26.5" thickBot="1" x14ac:dyDescent="0.4">
      <c r="A2" s="2" t="s">
        <v>4</v>
      </c>
      <c r="B2" s="1" t="s">
        <v>38</v>
      </c>
      <c r="C2" s="1" t="s">
        <v>3</v>
      </c>
      <c r="F2" t="str">
        <f>VLOOKUP(F1, $A:$B, 2, FALSE)</f>
        <v>sysEasyStart</v>
      </c>
      <c r="G2" t="str">
        <f>VLOOKUP(G1, $A:$B, 2, FALSE)</f>
        <v>sysSimpleUnderstand</v>
      </c>
      <c r="H2" t="str">
        <f t="shared" ref="H2:R2" si="0">VLOOKUP(H1, $A:$B, 2, FALSE)</f>
        <v>analysisConfigure</v>
      </c>
      <c r="I2" t="str">
        <f t="shared" si="0"/>
        <v>visRemember</v>
      </c>
      <c r="J2" t="str">
        <f t="shared" si="0"/>
        <v>trialError</v>
      </c>
      <c r="K2" t="str">
        <f t="shared" si="0"/>
        <v>visSimpleUnderstand</v>
      </c>
      <c r="L2" t="str">
        <f t="shared" si="0"/>
        <v>sysRetrieveInfo</v>
      </c>
      <c r="M2" t="str">
        <f t="shared" si="0"/>
        <v>visAppropriate</v>
      </c>
      <c r="N2" t="str">
        <f t="shared" si="0"/>
        <v>visFaithful</v>
      </c>
      <c r="O2" t="str">
        <f t="shared" si="0"/>
        <v>tasksCompleteTask</v>
      </c>
      <c r="P2" t="str">
        <f t="shared" si="0"/>
        <v>sysEnjoy</v>
      </c>
      <c r="Q2" t="str">
        <f t="shared" si="0"/>
        <v>sysThinkDeep</v>
      </c>
      <c r="R2" t="str">
        <f t="shared" si="0"/>
        <v>sysUseful</v>
      </c>
    </row>
    <row r="3" spans="1:18" ht="15" thickBot="1" x14ac:dyDescent="0.4">
      <c r="A3" s="2" t="s">
        <v>7</v>
      </c>
      <c r="B3" s="1" t="s">
        <v>5</v>
      </c>
      <c r="C3" s="1" t="s">
        <v>6</v>
      </c>
    </row>
    <row r="4" spans="1:18" ht="26.5" thickBot="1" x14ac:dyDescent="0.4">
      <c r="A4" s="2" t="s">
        <v>9</v>
      </c>
      <c r="B4" s="1" t="s">
        <v>36</v>
      </c>
      <c r="C4" s="1" t="s">
        <v>8</v>
      </c>
    </row>
    <row r="5" spans="1:18" ht="15" thickBot="1" x14ac:dyDescent="0.4">
      <c r="A5" s="3" t="s">
        <v>11</v>
      </c>
      <c r="B5" s="1" t="s">
        <v>37</v>
      </c>
      <c r="C5" s="1" t="s">
        <v>10</v>
      </c>
    </row>
    <row r="6" spans="1:18" ht="26.5" thickBot="1" x14ac:dyDescent="0.4">
      <c r="A6" s="2" t="s">
        <v>14</v>
      </c>
      <c r="B6" s="1" t="s">
        <v>12</v>
      </c>
      <c r="C6" s="1" t="s">
        <v>13</v>
      </c>
    </row>
    <row r="7" spans="1:18" ht="26.5" thickBot="1" x14ac:dyDescent="0.4">
      <c r="A7" s="2" t="s">
        <v>17</v>
      </c>
      <c r="B7" s="1" t="s">
        <v>15</v>
      </c>
      <c r="C7" s="1" t="s">
        <v>16</v>
      </c>
    </row>
    <row r="8" spans="1:18" ht="15" thickBot="1" x14ac:dyDescent="0.4">
      <c r="A8" s="4" t="s">
        <v>19</v>
      </c>
      <c r="B8" s="1" t="s">
        <v>35</v>
      </c>
      <c r="C8" s="1" t="s">
        <v>18</v>
      </c>
    </row>
    <row r="9" spans="1:18" ht="26.5" thickBot="1" x14ac:dyDescent="0.4">
      <c r="A9" s="4" t="s">
        <v>21</v>
      </c>
      <c r="B9" s="1" t="s">
        <v>34</v>
      </c>
      <c r="C9" s="1" t="s">
        <v>20</v>
      </c>
    </row>
    <row r="10" spans="1:18" ht="15" thickBot="1" x14ac:dyDescent="0.4">
      <c r="A10" s="3" t="s">
        <v>23</v>
      </c>
      <c r="B10" s="1" t="s">
        <v>33</v>
      </c>
      <c r="C10" s="1" t="s">
        <v>22</v>
      </c>
    </row>
    <row r="11" spans="1:18" ht="15" thickBot="1" x14ac:dyDescent="0.4">
      <c r="A11" s="4" t="s">
        <v>25</v>
      </c>
      <c r="B11" s="1" t="s">
        <v>30</v>
      </c>
      <c r="C11" s="1" t="s">
        <v>24</v>
      </c>
    </row>
    <row r="12" spans="1:18" ht="15" thickBot="1" x14ac:dyDescent="0.4">
      <c r="A12" s="3" t="s">
        <v>27</v>
      </c>
      <c r="B12" s="1" t="s">
        <v>31</v>
      </c>
      <c r="C12" s="1" t="s">
        <v>26</v>
      </c>
    </row>
    <row r="13" spans="1:18" ht="15" thickBot="1" x14ac:dyDescent="0.4">
      <c r="A13" s="3" t="s">
        <v>29</v>
      </c>
      <c r="B13" s="1" t="s">
        <v>32</v>
      </c>
      <c r="C13" s="1" t="s">
        <v>28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ItemsCode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Eliane</dc:creator>
  <cp:lastModifiedBy>Eliane</cp:lastModifiedBy>
  <dcterms:created xsi:type="dcterms:W3CDTF">2026-08-28T17:36:03Z</dcterms:created>
  <dcterms:modified xsi:type="dcterms:W3CDTF">2026-08-28T21:11:46Z</dcterms:modified>
</cp:coreProperties>
</file>