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ne\My_codes\GitSuppMaterial\Phase 3 - Scale Validation\Reproduce4 - Factor analysis - parallel screeplot\"/>
    </mc:Choice>
  </mc:AlternateContent>
  <xr:revisionPtr revIDLastSave="0" documentId="13_ncr:1_{747510FD-7470-480B-9BB0-1FED442A43BB}" xr6:coauthVersionLast="47" xr6:coauthVersionMax="47" xr10:uidLastSave="{00000000-0000-0000-0000-000000000000}"/>
  <bookViews>
    <workbookView xWindow="28680" yWindow="-120" windowWidth="29040" windowHeight="15720" xr2:uid="{FBF8989F-3BEB-4BD4-80AE-AEE8F4A6E270}"/>
  </bookViews>
  <sheets>
    <sheet name="factor_loadings" sheetId="2" r:id="rId1"/>
    <sheet name="ItemsLi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B10" i="2"/>
  <c r="B9" i="2"/>
  <c r="B8" i="2"/>
  <c r="B7" i="2"/>
  <c r="B6" i="2"/>
  <c r="B5" i="2"/>
  <c r="B4" i="2"/>
  <c r="B3" i="2"/>
  <c r="B2" i="2"/>
  <c r="A2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<sst xmlns="http://schemas.openxmlformats.org/spreadsheetml/2006/main" count="103" uniqueCount="41">
  <si>
    <t>CognitiveV</t>
  </si>
  <si>
    <t>P027</t>
  </si>
  <si>
    <t>P027 I could complete my essential tasks efficiently</t>
  </si>
  <si>
    <t>P060</t>
  </si>
  <si>
    <t>P060 I enjoyed using this system</t>
  </si>
  <si>
    <t>P064</t>
  </si>
  <si>
    <t>P064 The tool encouraged me to think deeply about my data</t>
  </si>
  <si>
    <t>P301</t>
  </si>
  <si>
    <t>P301 The system was useful for me</t>
  </si>
  <si>
    <t>Intuitiveness</t>
  </si>
  <si>
    <t>P026</t>
  </si>
  <si>
    <t>P026 I found it easy to get started using this system</t>
  </si>
  <si>
    <t>P088</t>
  </si>
  <si>
    <t>P088 I found the system simple to understand</t>
  </si>
  <si>
    <t>P4026A</t>
  </si>
  <si>
    <t>P4026A Getting the tool configured for my analysis was straightforward</t>
  </si>
  <si>
    <t>Visualization</t>
  </si>
  <si>
    <t>P022A</t>
  </si>
  <si>
    <t>P022A I can easily remember how to read the visualizations in the system</t>
  </si>
  <si>
    <t>P067</t>
  </si>
  <si>
    <t>P067.I.could.safely.engage.in.a.trial.and.error.analysis.process�</t>
  </si>
  <si>
    <t>P089</t>
  </si>
  <si>
    <t>P089 The visual representations I saw were simple to understand</t>
  </si>
  <si>
    <t>P097</t>
  </si>
  <si>
    <t>P097 Using the system I could easily retrieve information from my data</t>
  </si>
  <si>
    <t>P098</t>
  </si>
  <si>
    <t>P098 I found the visual representations provided by the system were appropriate</t>
  </si>
  <si>
    <t>P106</t>
  </si>
  <si>
    <t>P106 The visualizations I saw seemed to represent the data faithfully</t>
  </si>
  <si>
    <t>Item</t>
  </si>
  <si>
    <t>Primary_Factor</t>
  </si>
  <si>
    <t>Max_Loading</t>
  </si>
  <si>
    <t>MR1</t>
  </si>
  <si>
    <t>MR2</t>
  </si>
  <si>
    <t>MR3</t>
  </si>
  <si>
    <t>MR4</t>
  </si>
  <si>
    <t>Communality_h2</t>
  </si>
  <si>
    <t>Uniqueness_u2</t>
  </si>
  <si>
    <t>Complexity</t>
  </si>
  <si>
    <t>XLOOKUP(C2, ItemsList!B:B, ItemsList!A:A, "")</t>
  </si>
  <si>
    <t>XLOOKUP(C2, ItemsList!B:B, ItemsList!C:C, 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</si>
</sst>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AB09-293F-4ECF-870C-8FC089495DEB}">
  <dimension ref="A1:O16"/>
  <sheetViews>
    <sheetView tabSelected="1" workbookViewId="0">
      <selection activeCell="G18" sqref="G18"/>
    </sheetView>
  </sheetViews>
  <sheetFormatPr defaultRowHeight="14.5" x14ac:dyDescent="0.35"/>
  <cols>
    <col min="1" max="1" width="22.26953125" customWidth="1"/>
    <col min="2" max="2" width="21.26953125" customWidth="1"/>
    <col min="14" max="14" width="14.7265625" customWidth="1"/>
  </cols>
  <sheetData>
    <row r="1" spans="1:15" x14ac:dyDescent="0.35"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 spans="1:15" x14ac:dyDescent="0.35">
      <c r="A2" t="str">
        <f>_xlfn.XLOOKUP(C2, ItemsList!B:B, ItemsList!A:A, "")</f>
        <v>Visualization</v>
      </c>
      <c r="B2" t="str">
        <f>_xlfn.XLOOKUP(C2, ItemsList!B:B, ItemsList!C:C, "")</f>
        <v>P106 The visualizations I saw seemed to represent the data faithfully</v>
      </c>
      <c r="C2" t="s">
        <v>27</v>
      </c>
      <c r="D2" t="s">
        <v>32</v>
      </c>
      <c r="E2">
        <v>0.77800000000000002</v>
      </c>
      <c r="F2">
        <v>0.77800000000000002</v>
      </c>
      <c r="G2">
        <v>-0.01</v>
      </c>
      <c r="H2">
        <v>-0.313</v>
      </c>
      <c r="I2">
        <v>0.26800000000000002</v>
      </c>
      <c r="J2">
        <v>0.60199999999999998</v>
      </c>
      <c r="K2">
        <v>0.39800000000000002</v>
      </c>
      <c r="L2">
        <v>1.58</v>
      </c>
      <c r="N2" t="s">
        <v>16</v>
      </c>
      <c r="O2" t="s">
        <v>28</v>
      </c>
    </row>
    <row r="3" spans="1:15" x14ac:dyDescent="0.35">
      <c r="A3" t="str">
        <f>_xlfn.XLOOKUP(C3, ItemsList!B:B, ItemsList!A:A, "")</f>
        <v>Visualization</v>
      </c>
      <c r="B3" t="str">
        <f>_xlfn.XLOOKUP(C3, ItemsList!B:B, ItemsList!C:C, "")</f>
        <v>P022A I can easily remember how to read the visualizations in the system</v>
      </c>
      <c r="C3" t="s">
        <v>17</v>
      </c>
      <c r="D3" t="s">
        <v>32</v>
      </c>
      <c r="E3">
        <v>0.63800000000000001</v>
      </c>
      <c r="F3">
        <v>0.63800000000000001</v>
      </c>
      <c r="G3">
        <v>0.20200000000000001</v>
      </c>
      <c r="H3">
        <v>-3.5000000000000003E-2</v>
      </c>
      <c r="I3">
        <v>-8.4000000000000005E-2</v>
      </c>
      <c r="J3">
        <v>0.51600000000000001</v>
      </c>
      <c r="K3">
        <v>0.48399999999999999</v>
      </c>
      <c r="L3">
        <v>1.24</v>
      </c>
      <c r="N3" t="s">
        <v>16</v>
      </c>
      <c r="O3" t="s">
        <v>18</v>
      </c>
    </row>
    <row r="4" spans="1:15" x14ac:dyDescent="0.35">
      <c r="A4" t="str">
        <f>_xlfn.XLOOKUP(C4, ItemsList!B:B, ItemsList!A:A, "")</f>
        <v>Visualization</v>
      </c>
      <c r="B4" t="str">
        <f>_xlfn.XLOOKUP(C4, ItemsList!B:B, ItemsList!C:C, "")</f>
        <v>P098 I found the visual representations provided by the system were appropriate</v>
      </c>
      <c r="C4" t="s">
        <v>25</v>
      </c>
      <c r="D4" t="s">
        <v>32</v>
      </c>
      <c r="E4">
        <v>0.59199999999999997</v>
      </c>
      <c r="F4">
        <v>0.59199999999999997</v>
      </c>
      <c r="G4">
        <v>-6.7000000000000004E-2</v>
      </c>
      <c r="H4">
        <v>1.0999999999999999E-2</v>
      </c>
      <c r="I4">
        <v>0.249</v>
      </c>
      <c r="J4">
        <v>0.49299999999999999</v>
      </c>
      <c r="K4">
        <v>0.50700000000000001</v>
      </c>
      <c r="L4">
        <v>1.37</v>
      </c>
      <c r="N4" t="s">
        <v>16</v>
      </c>
      <c r="O4" t="s">
        <v>26</v>
      </c>
    </row>
    <row r="5" spans="1:15" x14ac:dyDescent="0.35">
      <c r="A5" t="str">
        <f>_xlfn.XLOOKUP(C5, ItemsList!B:B, ItemsList!A:A, "")</f>
        <v>Visualization</v>
      </c>
      <c r="B5" t="str">
        <f>_xlfn.XLOOKUP(C5, ItemsList!B:B, ItemsList!C:C, "")</f>
        <v>P089 The visual representations I saw were simple to understand</v>
      </c>
      <c r="C5" t="s">
        <v>21</v>
      </c>
      <c r="D5" t="s">
        <v>32</v>
      </c>
      <c r="E5">
        <v>0.54900000000000004</v>
      </c>
      <c r="F5">
        <v>0.54900000000000004</v>
      </c>
      <c r="G5">
        <v>0.17799999999999999</v>
      </c>
      <c r="H5">
        <v>0.191</v>
      </c>
      <c r="I5">
        <v>-0.14099999999999999</v>
      </c>
      <c r="J5">
        <v>0.55900000000000005</v>
      </c>
      <c r="K5">
        <v>0.441</v>
      </c>
      <c r="L5">
        <v>1.62</v>
      </c>
      <c r="N5" t="s">
        <v>16</v>
      </c>
      <c r="O5" t="s">
        <v>22</v>
      </c>
    </row>
    <row r="6" spans="1:15" x14ac:dyDescent="0.35">
      <c r="A6" t="str">
        <f>_xlfn.XLOOKUP(C6, ItemsList!B:B, ItemsList!A:A, "")</f>
        <v>Visualization</v>
      </c>
      <c r="B6" t="str">
        <f>_xlfn.XLOOKUP(C6, ItemsList!B:B, ItemsList!C:C, "")</f>
        <v>P097 Using the system I could easily retrieve information from my data</v>
      </c>
      <c r="C6" t="s">
        <v>23</v>
      </c>
      <c r="D6" t="s">
        <v>32</v>
      </c>
      <c r="E6">
        <v>0.53200000000000003</v>
      </c>
      <c r="F6">
        <v>0.53200000000000003</v>
      </c>
      <c r="G6">
        <v>-0.114</v>
      </c>
      <c r="H6">
        <v>0.25900000000000001</v>
      </c>
      <c r="I6">
        <v>0.156</v>
      </c>
      <c r="J6">
        <v>0.52900000000000003</v>
      </c>
      <c r="K6">
        <v>0.47099999999999997</v>
      </c>
      <c r="L6">
        <v>1.76</v>
      </c>
      <c r="N6" t="s">
        <v>16</v>
      </c>
      <c r="O6" t="s">
        <v>24</v>
      </c>
    </row>
    <row r="7" spans="1:15" x14ac:dyDescent="0.35">
      <c r="A7" t="str">
        <f>_xlfn.XLOOKUP(C7, ItemsList!B:B, ItemsList!A:A, "")</f>
        <v>Intuitiveness</v>
      </c>
      <c r="B7" t="str">
        <f>_xlfn.XLOOKUP(C7, ItemsList!B:B, ItemsList!C:C, "")</f>
        <v>P088 I found the system simple to understand</v>
      </c>
      <c r="C7" t="s">
        <v>12</v>
      </c>
      <c r="D7" t="s">
        <v>33</v>
      </c>
      <c r="E7">
        <v>0.95299999999999996</v>
      </c>
      <c r="F7">
        <v>1.2E-2</v>
      </c>
      <c r="G7">
        <v>0.95299999999999996</v>
      </c>
      <c r="H7">
        <v>-0.108</v>
      </c>
      <c r="I7">
        <v>8.3000000000000004E-2</v>
      </c>
      <c r="J7">
        <v>0.85899999999999999</v>
      </c>
      <c r="K7">
        <v>0.14099999999999999</v>
      </c>
      <c r="L7">
        <v>1.04</v>
      </c>
      <c r="N7" t="s">
        <v>9</v>
      </c>
      <c r="O7" t="s">
        <v>13</v>
      </c>
    </row>
    <row r="8" spans="1:15" x14ac:dyDescent="0.35">
      <c r="A8" t="str">
        <f>_xlfn.XLOOKUP(C8, ItemsList!B:B, ItemsList!A:A, "")</f>
        <v>Intuitiveness</v>
      </c>
      <c r="B8" t="str">
        <f>_xlfn.XLOOKUP(C8, ItemsList!B:B, ItemsList!C:C, "")</f>
        <v>P026 I found it easy to get started using this system</v>
      </c>
      <c r="C8" t="s">
        <v>10</v>
      </c>
      <c r="D8" t="s">
        <v>33</v>
      </c>
      <c r="E8">
        <v>0.86399999999999999</v>
      </c>
      <c r="F8">
        <v>5.1999999999999998E-2</v>
      </c>
      <c r="G8">
        <v>0.86399999999999999</v>
      </c>
      <c r="H8">
        <v>-4.0000000000000001E-3</v>
      </c>
      <c r="I8">
        <v>-9.7000000000000003E-2</v>
      </c>
      <c r="J8">
        <v>0.752</v>
      </c>
      <c r="K8">
        <v>0.248</v>
      </c>
      <c r="L8">
        <v>1.03</v>
      </c>
      <c r="N8" t="s">
        <v>9</v>
      </c>
      <c r="O8" t="s">
        <v>11</v>
      </c>
    </row>
    <row r="9" spans="1:15" x14ac:dyDescent="0.35">
      <c r="A9" t="str">
        <f>_xlfn.XLOOKUP(C9, ItemsList!B:B, ItemsList!A:A, "")</f>
        <v>Intuitiveness</v>
      </c>
      <c r="B9" t="str">
        <f>_xlfn.XLOOKUP(C9, ItemsList!B:B, ItemsList!C:C, "")</f>
        <v>P4026A Getting the tool configured for my analysis was straightforward</v>
      </c>
      <c r="C9" t="s">
        <v>14</v>
      </c>
      <c r="D9" t="s">
        <v>33</v>
      </c>
      <c r="E9">
        <v>0.70399999999999996</v>
      </c>
      <c r="F9">
        <v>5.2999999999999999E-2</v>
      </c>
      <c r="G9">
        <v>0.70399999999999996</v>
      </c>
      <c r="H9">
        <v>3.4000000000000002E-2</v>
      </c>
      <c r="I9">
        <v>1.9E-2</v>
      </c>
      <c r="J9">
        <v>0.57999999999999996</v>
      </c>
      <c r="K9">
        <v>0.42</v>
      </c>
      <c r="L9">
        <v>1.02</v>
      </c>
      <c r="N9" t="s">
        <v>9</v>
      </c>
      <c r="O9" t="s">
        <v>15</v>
      </c>
    </row>
    <row r="10" spans="1:15" x14ac:dyDescent="0.35">
      <c r="A10" t="str">
        <f>_xlfn.XLOOKUP(C10, ItemsList!B:B, ItemsList!A:A, "")</f>
        <v>CognitiveV</v>
      </c>
      <c r="B10" t="str">
        <f>_xlfn.XLOOKUP(C10, ItemsList!B:B, ItemsList!C:C, "")</f>
        <v>P064 The tool encouraged me to think deeply about my data</v>
      </c>
      <c r="C10" t="s">
        <v>5</v>
      </c>
      <c r="D10" t="s">
        <v>34</v>
      </c>
      <c r="E10">
        <v>0.75700000000000001</v>
      </c>
      <c r="F10">
        <v>1.4999999999999999E-2</v>
      </c>
      <c r="G10">
        <v>-0.125</v>
      </c>
      <c r="H10">
        <v>0.75700000000000001</v>
      </c>
      <c r="I10">
        <v>9.2999999999999999E-2</v>
      </c>
      <c r="J10">
        <v>0.54600000000000004</v>
      </c>
      <c r="K10">
        <v>0.45400000000000001</v>
      </c>
      <c r="L10">
        <v>1.0900000000000001</v>
      </c>
      <c r="N10" t="s">
        <v>0</v>
      </c>
      <c r="O10" t="s">
        <v>6</v>
      </c>
    </row>
    <row r="11" spans="1:15" x14ac:dyDescent="0.35">
      <c r="A11" t="str">
        <f>_xlfn.XLOOKUP(C11, ItemsList!B:B, ItemsList!A:A, "")</f>
        <v>CognitiveV</v>
      </c>
      <c r="B11" t="str">
        <f>_xlfn.XLOOKUP(C11, ItemsList!B:B, ItemsList!C:C, "")</f>
        <v>P060 I enjoyed using this system</v>
      </c>
      <c r="C11" t="s">
        <v>3</v>
      </c>
      <c r="D11" t="s">
        <v>34</v>
      </c>
      <c r="E11">
        <v>0.70399999999999996</v>
      </c>
      <c r="F11">
        <v>-0.316</v>
      </c>
      <c r="G11">
        <v>0.26600000000000001</v>
      </c>
      <c r="H11">
        <v>0.70399999999999996</v>
      </c>
      <c r="I11">
        <v>0.29599999999999999</v>
      </c>
      <c r="J11">
        <v>0.748</v>
      </c>
      <c r="K11">
        <v>0.252</v>
      </c>
      <c r="L11">
        <v>2.12</v>
      </c>
      <c r="N11" t="s">
        <v>0</v>
      </c>
      <c r="O11" t="s">
        <v>4</v>
      </c>
    </row>
    <row r="12" spans="1:15" x14ac:dyDescent="0.35">
      <c r="A12" t="str">
        <f>_xlfn.XLOOKUP(C12, ItemsList!B:B, ItemsList!A:A, "")</f>
        <v>Visualization</v>
      </c>
      <c r="B12" t="str">
        <f>_xlfn.XLOOKUP(C12, ItemsList!B:B, ItemsList!C:C, "")</f>
        <v>P067.I.could.safely.engage.in.a.trial.and.error.analysis.process�</v>
      </c>
      <c r="C12" t="s">
        <v>19</v>
      </c>
      <c r="D12" t="s">
        <v>34</v>
      </c>
      <c r="E12">
        <v>0.42699999999999999</v>
      </c>
      <c r="F12">
        <v>0.377</v>
      </c>
      <c r="G12">
        <v>-5.0000000000000001E-3</v>
      </c>
      <c r="H12">
        <v>0.42699999999999999</v>
      </c>
      <c r="I12">
        <v>-0.13400000000000001</v>
      </c>
      <c r="J12">
        <v>0.435</v>
      </c>
      <c r="K12">
        <v>0.56499999999999995</v>
      </c>
      <c r="L12">
        <v>2.1800000000000002</v>
      </c>
      <c r="N12" t="s">
        <v>16</v>
      </c>
      <c r="O12" t="s">
        <v>20</v>
      </c>
    </row>
    <row r="13" spans="1:15" x14ac:dyDescent="0.35">
      <c r="A13" t="str">
        <f>_xlfn.XLOOKUP(C13, ItemsList!B:B, ItemsList!A:A, "")</f>
        <v>CognitiveV</v>
      </c>
      <c r="B13" t="str">
        <f>_xlfn.XLOOKUP(C13, ItemsList!B:B, ItemsList!C:C, "")</f>
        <v>P301 The system was useful for me</v>
      </c>
      <c r="C13" t="s">
        <v>7</v>
      </c>
      <c r="D13" t="s">
        <v>35</v>
      </c>
      <c r="E13">
        <v>0.75</v>
      </c>
      <c r="F13">
        <v>0.152</v>
      </c>
      <c r="G13">
        <v>-7.8E-2</v>
      </c>
      <c r="H13">
        <v>0.193</v>
      </c>
      <c r="I13">
        <v>0.75</v>
      </c>
      <c r="J13">
        <v>0.8</v>
      </c>
      <c r="K13">
        <v>0.2</v>
      </c>
      <c r="L13">
        <v>1.24</v>
      </c>
      <c r="N13" t="s">
        <v>0</v>
      </c>
      <c r="O13" t="s">
        <v>8</v>
      </c>
    </row>
    <row r="14" spans="1:15" x14ac:dyDescent="0.35">
      <c r="A14" t="str">
        <f>_xlfn.XLOOKUP(C14, ItemsList!B:B, ItemsList!A:A, "")</f>
        <v>CognitiveV</v>
      </c>
      <c r="B14" t="str">
        <f>_xlfn.XLOOKUP(C14, ItemsList!B:B, ItemsList!C:C, "")</f>
        <v>P027 I could complete my essential tasks efficiently</v>
      </c>
      <c r="C14" t="s">
        <v>1</v>
      </c>
      <c r="D14" t="s">
        <v>35</v>
      </c>
      <c r="E14">
        <v>0.42099999999999999</v>
      </c>
      <c r="F14">
        <v>0.25</v>
      </c>
      <c r="G14">
        <v>0.20899999999999999</v>
      </c>
      <c r="H14">
        <v>9.7000000000000003E-2</v>
      </c>
      <c r="I14">
        <v>0.42099999999999999</v>
      </c>
      <c r="J14">
        <v>0.56999999999999995</v>
      </c>
      <c r="K14">
        <v>0.43</v>
      </c>
      <c r="L14">
        <v>2.29</v>
      </c>
      <c r="N14" t="s">
        <v>0</v>
      </c>
      <c r="O14" t="s">
        <v>2</v>
      </c>
    </row>
    <row r="16" spans="1:15" x14ac:dyDescent="0.35">
      <c r="A16" t="s">
        <v>39</v>
      </c>
      <c r="B1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5693-C50D-466E-8E1D-6F01C7AE96AF}">
  <dimension ref="A2:C14"/>
  <sheetViews>
    <sheetView workbookViewId="0">
      <selection sqref="A1:XFD1048576"/>
    </sheetView>
  </sheetViews>
  <sheetFormatPr defaultRowHeight="14.5" x14ac:dyDescent="0.35"/>
  <cols>
    <col min="1" max="1" width="32.453125" customWidth="1"/>
  </cols>
  <sheetData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0</v>
      </c>
      <c r="B3" t="s">
        <v>3</v>
      </c>
      <c r="C3" t="s">
        <v>4</v>
      </c>
    </row>
    <row r="4" spans="1:3" x14ac:dyDescent="0.35">
      <c r="A4" t="s">
        <v>0</v>
      </c>
      <c r="B4" t="s">
        <v>5</v>
      </c>
      <c r="C4" t="s">
        <v>6</v>
      </c>
    </row>
    <row r="5" spans="1:3" x14ac:dyDescent="0.35">
      <c r="A5" t="s">
        <v>0</v>
      </c>
      <c r="B5" t="s">
        <v>7</v>
      </c>
      <c r="C5" t="s">
        <v>8</v>
      </c>
    </row>
    <row r="6" spans="1:3" x14ac:dyDescent="0.35">
      <c r="A6" t="s">
        <v>9</v>
      </c>
      <c r="B6" t="s">
        <v>10</v>
      </c>
      <c r="C6" t="s">
        <v>11</v>
      </c>
    </row>
    <row r="7" spans="1:3" x14ac:dyDescent="0.35">
      <c r="A7" t="s">
        <v>9</v>
      </c>
      <c r="B7" t="s">
        <v>12</v>
      </c>
      <c r="C7" t="s">
        <v>13</v>
      </c>
    </row>
    <row r="8" spans="1:3" x14ac:dyDescent="0.35">
      <c r="A8" t="s">
        <v>9</v>
      </c>
      <c r="B8" t="s">
        <v>14</v>
      </c>
      <c r="C8" t="s">
        <v>15</v>
      </c>
    </row>
    <row r="9" spans="1:3" x14ac:dyDescent="0.35">
      <c r="A9" t="s">
        <v>16</v>
      </c>
      <c r="B9" t="s">
        <v>17</v>
      </c>
      <c r="C9" t="s">
        <v>18</v>
      </c>
    </row>
    <row r="10" spans="1:3" x14ac:dyDescent="0.35">
      <c r="A10" t="s">
        <v>16</v>
      </c>
      <c r="B10" t="s">
        <v>19</v>
      </c>
      <c r="C10" t="s">
        <v>20</v>
      </c>
    </row>
    <row r="11" spans="1:3" x14ac:dyDescent="0.35">
      <c r="A11" t="s">
        <v>16</v>
      </c>
      <c r="B11" t="s">
        <v>21</v>
      </c>
      <c r="C11" t="s">
        <v>22</v>
      </c>
    </row>
    <row r="12" spans="1:3" x14ac:dyDescent="0.35">
      <c r="A12" t="s">
        <v>16</v>
      </c>
      <c r="B12" t="s">
        <v>23</v>
      </c>
      <c r="C12" t="s">
        <v>24</v>
      </c>
    </row>
    <row r="13" spans="1:3" x14ac:dyDescent="0.35">
      <c r="A13" t="s">
        <v>16</v>
      </c>
      <c r="B13" t="s">
        <v>25</v>
      </c>
      <c r="C13" t="s">
        <v>26</v>
      </c>
    </row>
    <row r="14" spans="1:3" x14ac:dyDescent="0.35">
      <c r="A14" t="s">
        <v>16</v>
      </c>
      <c r="B14" t="s">
        <v>27</v>
      </c>
      <c r="C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factor_loadings</vt:lpstr>
      <vt:lpstr>ItemsList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Eliane</cp:lastModifiedBy>
  <dcterms:created xsi:type="dcterms:W3CDTF">2026-08-26T13:49:05Z</dcterms:created>
  <dcterms:modified xsi:type="dcterms:W3CDTF">2026-08-26T16:01:28Z</dcterms:modified>
</cp:coreProperties>
</file>